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turos" sheetId="1" state="visible" r:id="rId3"/>
    <sheet name="Actua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<sst xmlns="http://schemas.openxmlformats.org/spreadsheetml/2006/main" count="146" uniqueCount="110">
  <si>
    <t xml:space="preserve">Costes futuros de Satorus</t>
  </si>
  <si>
    <t xml:space="preserve">Referencias para planificar antes de contratar. Los escenarios de Webflow, hosting y forma jurídica son alternativas: no los sumes entre sí.</t>
  </si>
  <si>
    <t xml:space="preserve">Escenario</t>
  </si>
  <si>
    <t xml:space="preserve">Partida</t>
  </si>
  <si>
    <t xml:space="preserve">Cuándo aplica</t>
  </si>
  <si>
    <t xml:space="preserve">Coste único</t>
  </si>
  <si>
    <t xml:space="preserve">Coste mensual</t>
  </si>
  <si>
    <t xml:space="preserve">Coste primer año</t>
  </si>
  <si>
    <t xml:space="preserve">Alojamiento</t>
  </si>
  <si>
    <t xml:space="preserve">Notas</t>
  </si>
  <si>
    <t xml:space="preserve">App Next.js</t>
  </si>
  <si>
    <t xml:space="preserve">Vercel Pro</t>
  </si>
  <si>
    <t xml:space="preserve">Al publicar la web actual</t>
  </si>
  <si>
    <t xml:space="preserve">Fuera del compartido</t>
  </si>
  <si>
    <t xml:space="preserve">Sirve la web actual con formularios y correo. Alternativa: exportación estática, con funciones limitadas.</t>
  </si>
  <si>
    <t xml:space="preserve">Supabase Pro</t>
  </si>
  <si>
    <t xml:space="preserve">Cuando haya usuarios o datos reales</t>
  </si>
  <si>
    <t xml:space="preserve">Servicio externo</t>
  </si>
  <si>
    <t xml:space="preserve">Base de datos, autenticación y copias diarias. Parte de 25 USD/mes.</t>
  </si>
  <si>
    <t xml:space="preserve">Resend Pro</t>
  </si>
  <si>
    <t xml:space="preserve">Cuando el plan Free se quede corto</t>
  </si>
  <si>
    <t xml:space="preserve">Correo transaccional. Alternativa al plan Free, no sumar ambos.</t>
  </si>
  <si>
    <t xml:space="preserve">Protección</t>
  </si>
  <si>
    <t xml:space="preserve">Cloudflare Free</t>
  </si>
  <si>
    <t xml:space="preserve">Para cada dominio</t>
  </si>
  <si>
    <t xml:space="preserve">Delante del dominio</t>
  </si>
  <si>
    <t xml:space="preserve">DNS, CDN, SSL y protección básica sin coste inicial.</t>
  </si>
  <si>
    <t xml:space="preserve">UptimeRobot Free</t>
  </si>
  <si>
    <t xml:space="preserve">Cuando publiques una web o API</t>
  </si>
  <si>
    <t xml:space="preserve">Avisos de caída de web, API, dominio y certificado.</t>
  </si>
  <si>
    <t xml:space="preserve">Sentry Developer</t>
  </si>
  <si>
    <t xml:space="preserve">Apps con usuarios o personal</t>
  </si>
  <si>
    <t xml:space="preserve">Registro de errores de frontend y API.</t>
  </si>
  <si>
    <t xml:space="preserve">Copia externa de datos</t>
  </si>
  <si>
    <t xml:space="preserve">Al pasar Supabase a producción</t>
  </si>
  <si>
    <t xml:space="preserve">Reserva mínima para una copia independiente. Ajustar tras elegir almacenamiento y retención.</t>
  </si>
  <si>
    <t xml:space="preserve">Automatización</t>
  </si>
  <si>
    <t xml:space="preserve">n8n Cloud Starter</t>
  </si>
  <si>
    <t xml:space="preserve">Automatizaciones en producción</t>
  </si>
  <si>
    <t xml:space="preserve">Para tareas que deben ejecutarse siempre. Un hosting compartido no es adecuado para ese worker.</t>
  </si>
  <si>
    <t xml:space="preserve">Web de cliente</t>
  </si>
  <si>
    <t xml:space="preserve">Webflow Basic</t>
  </si>
  <si>
    <t xml:space="preserve">Landing sin CMS</t>
  </si>
  <si>
    <t xml:space="preserve">Hosting de Webflow</t>
  </si>
  <si>
    <t xml:space="preserve">Alternativa al hosting compartido. No contratar junto a Webflow Premium para el mismo sitio.</t>
  </si>
  <si>
    <t xml:space="preserve">Webflow Premium</t>
  </si>
  <si>
    <t xml:space="preserve">Web con CMS</t>
  </si>
  <si>
    <t xml:space="preserve">Alternativa a Basic. CMS y formularios nativos requieren seguir en Webflow.</t>
  </si>
  <si>
    <t xml:space="preserve">Hosting WordPress individual</t>
  </si>
  <si>
    <t xml:space="preserve">Web WordPress o PHP sencilla</t>
  </si>
  <si>
    <t xml:space="preserve">Hosting compartido</t>
  </si>
  <si>
    <t xml:space="preserve">Puede vivir en compartido. No aloja la app Next.js actual con su API.</t>
  </si>
  <si>
    <t xml:space="preserve">Comercio</t>
  </si>
  <si>
    <t xml:space="preserve">Hosting PrestaShop / reseller</t>
  </si>
  <si>
    <t xml:space="preserve">Tienda PrestaShop</t>
  </si>
  <si>
    <t xml:space="preserve">Hosting compartido apto</t>
  </si>
  <si>
    <t xml:space="preserve">Comprueba PHP 8.4, MariaDB/MySQL y 512 MB por proceso antes de contratar.</t>
  </si>
  <si>
    <t xml:space="preserve">Stripe</t>
  </si>
  <si>
    <t xml:space="preserve">Cuando cobres online</t>
  </si>
  <si>
    <t xml:space="preserve">Sin cuota fija en esta previsión. Añade después la comisión por venta de tu plan.</t>
  </si>
  <si>
    <t xml:space="preserve">Autónomo individual</t>
  </si>
  <si>
    <t xml:space="preserve">Cuota reducida RETA</t>
  </si>
  <si>
    <t xml:space="preserve">Primeros 12 meses si cumples requisitos</t>
  </si>
  <si>
    <t xml:space="preserve">No aplica</t>
  </si>
  <si>
    <t xml:space="preserve">Referencia de tarifa reducida. Confirmar derecho en el alta; después depende de rendimientos.</t>
  </si>
  <si>
    <t xml:space="preserve">Gestoría</t>
  </si>
  <si>
    <t xml:space="preserve">Desde el alta</t>
  </si>
  <si>
    <t xml:space="preserve">Reserva de mercado para impuestos y modelos. Pide presupuesto antes de contratar.</t>
  </si>
  <si>
    <t xml:space="preserve">Facturación compatible</t>
  </si>
  <si>
    <t xml:space="preserve">Al emitir facturas</t>
  </si>
  <si>
    <t xml:space="preserve">Reserva para un programa de facturación. IVA e IRPF no son costes fijos y no están incluidos.</t>
  </si>
  <si>
    <t xml:space="preserve">S.L.</t>
  </si>
  <si>
    <t xml:space="preserve">Constitución por CIRCE</t>
  </si>
  <si>
    <t xml:space="preserve">Al crear la sociedad</t>
  </si>
  <si>
    <t xml:space="preserve">Referencia: notaría 60 € + IVA y registro 40 € + IVA con estatutos tipo y capital hasta 3.100 €.</t>
  </si>
  <si>
    <t xml:space="preserve">Capital social</t>
  </si>
  <si>
    <t xml:space="preserve">Mínimo legal de 1 €. Es dinero de la sociedad, no un gasto; con menos de 3.000 € hay reglas adicionales.</t>
  </si>
  <si>
    <t xml:space="preserve">Cuota RETA administrador</t>
  </si>
  <si>
    <t xml:space="preserve">Si corresponde por tu participación y funciones</t>
  </si>
  <si>
    <t xml:space="preserve">No sumarla a la cuota de autónomo individual: son escenarios alternativos. Confirmar encuadramiento.</t>
  </si>
  <si>
    <t xml:space="preserve">Gestoría contable y fiscal</t>
  </si>
  <si>
    <t xml:space="preserve">Desde la constitución</t>
  </si>
  <si>
    <t xml:space="preserve">Reserva para contabilidad, impuestos y cuentas anuales. Pide presupuesto cerrado.</t>
  </si>
  <si>
    <t xml:space="preserve">Al facturar desde la sociedad</t>
  </si>
  <si>
    <t xml:space="preserve">Alternativa al programa del autónomo individual, no sumar los dos.</t>
  </si>
  <si>
    <t xml:space="preserve">Cuenta bancaria de empresa</t>
  </si>
  <si>
    <t xml:space="preserve">Al abrir la sociedad</t>
  </si>
  <si>
    <t xml:space="preserve">Banco</t>
  </si>
  <si>
    <t xml:space="preserve">Sin cifra porque depende del banco. Añádela cuando tengas la tarifa real.</t>
  </si>
  <si>
    <t xml:space="preserve">Pagos actuales</t>
  </si>
  <si>
    <t xml:space="preserve">Solo se incluyen suscripciones que ya has indicado como pagadas. Los importes en amarillo se completan con la factura o el extracto.</t>
  </si>
  <si>
    <t xml:space="preserve">Total mensual conocido</t>
  </si>
  <si>
    <t xml:space="preserve">El total excluye Google AI Plus y ChatGPT hasta que anotes el importe exacto de sus facturas.</t>
  </si>
  <si>
    <t xml:space="preserve">Categoría</t>
  </si>
  <si>
    <t xml:space="preserve">Servicio</t>
  </si>
  <si>
    <t xml:space="preserve">Plan</t>
  </si>
  <si>
    <t xml:space="preserve">Coste anual</t>
  </si>
  <si>
    <t xml:space="preserve">Estado</t>
  </si>
  <si>
    <t xml:space="preserve">Nota</t>
  </si>
  <si>
    <t xml:space="preserve">IA</t>
  </si>
  <si>
    <t xml:space="preserve">Google AI</t>
  </si>
  <si>
    <t xml:space="preserve">Plus</t>
  </si>
  <si>
    <t xml:space="preserve">En uso</t>
  </si>
  <si>
    <t xml:space="preserve">Anota el importe exacto de tu factura. El precio puede depender de país, promoción e impuestos.</t>
  </si>
  <si>
    <t xml:space="preserve">ChatGPT</t>
  </si>
  <si>
    <t xml:space="preserve">Pro</t>
  </si>
  <si>
    <t xml:space="preserve">Anota el importe de tu factura. El plan Pro no equivale a Plus y sus precios oficiales son distintos.</t>
  </si>
  <si>
    <t xml:space="preserve">Claude</t>
  </si>
  <si>
    <t xml:space="preserve">Pro + Claude Code</t>
  </si>
  <si>
    <t xml:space="preserve">Importe mensual aproximado que has indicado. Claude Pro incluye acceso a Claude Code; API aparte.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</si>
</sst>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0;[RED]&quot;(€&quot;#,##0.00\);\-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F2937"/>
      <name val="Arial"/>
      <family val="0"/>
      <charset val="1"/>
    </font>
    <font>
      <b val="true"/>
      <sz val="16"/>
      <color rgb="FF173A5E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73A5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73A5E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D9EAF7"/>
        <bgColor rgb="FFE2F0D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9FBAD0"/>
      </left>
      <right/>
      <top style="thin">
        <color rgb="FF9FBAD0"/>
      </top>
      <bottom/>
      <diagonal/>
    </border>
    <border diagonalUp="false" diagonalDown="false">
      <left/>
      <right/>
      <top style="thin">
        <color rgb="FF9FBAD0"/>
      </top>
      <bottom/>
      <diagonal/>
    </border>
    <border diagonalUp="false" diagonalDown="false">
      <left/>
      <right style="thin">
        <color rgb="FF9FBAD0"/>
      </right>
      <top style="thin">
        <color rgb="FF9FBAD0"/>
      </top>
      <bottom/>
      <diagonal/>
    </border>
    <border diagonalUp="false" diagonalDown="false">
      <left style="thin">
        <color rgb="FF9FBAD0"/>
      </left>
      <right/>
      <top/>
      <bottom/>
      <diagonal/>
    </border>
    <border diagonalUp="false" diagonalDown="false">
      <left/>
      <right style="thin">
        <color rgb="FF9FBAD0"/>
      </right>
      <top/>
      <bottom/>
      <diagonal/>
    </border>
    <border diagonalUp="false" diagonalDown="false">
      <left style="thin">
        <color rgb="FF9FBAD0"/>
      </left>
      <right/>
      <top/>
      <bottom style="thin">
        <color rgb="FF9FBAD0"/>
      </bottom>
      <diagonal/>
    </border>
    <border diagonalUp="false" diagonalDown="false">
      <left/>
      <right/>
      <top/>
      <bottom style="thin">
        <color rgb="FF9FBAD0"/>
      </bottom>
      <diagonal/>
    </border>
    <border diagonalUp="false" diagonalDown="false">
      <left/>
      <right style="thin">
        <color rgb="FF9FBAD0"/>
      </right>
      <top/>
      <bottom style="thin">
        <color rgb="FF9FBA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AD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3"/>
      <rgbColor rgb="FF969696"/>
      <rgbColor rgb="FF173A5E"/>
      <rgbColor rgb="FF339966"/>
      <rgbColor rgb="FF003300"/>
      <rgbColor rgb="FF333300"/>
      <rgbColor rgb="FF993300"/>
      <rgbColor rgb="FF993366"/>
      <rgbColor rgb="FF1F4E78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28"/>
    <col collapsed="false" customWidth="true" hidden="false" outlineLevel="0" max="3" min="3" style="0" width="25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5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customFormat="false" ht="24" hidden="false" customHeight="true" outlineLevel="0" collapsed="false">
      <c r="A6" s="7" t="s">
        <v>10</v>
      </c>
      <c r="B6" s="8" t="s">
        <v>11</v>
      </c>
      <c r="C6" s="9" t="s">
        <v>12</v>
      </c>
      <c r="D6" s="10" t="n">
        <v>0</v>
      </c>
      <c r="E6" s="10" t="n">
        <v>18.4</v>
      </c>
      <c r="F6" s="11" t="n">
        <f aca="false">D6+E6*12</f>
        <v>220.8</v>
      </c>
      <c r="G6" s="9" t="s">
        <v>13</v>
      </c>
      <c r="H6" s="12" t="s">
        <v>14</v>
      </c>
    </row>
    <row r="7" customFormat="false" ht="24" hidden="false" customHeight="true" outlineLevel="0" collapsed="false">
      <c r="A7" s="7" t="s">
        <v>10</v>
      </c>
      <c r="B7" s="8" t="s">
        <v>15</v>
      </c>
      <c r="C7" s="9" t="s">
        <v>16</v>
      </c>
      <c r="D7" s="10" t="n">
        <v>0</v>
      </c>
      <c r="E7" s="10" t="n">
        <v>23</v>
      </c>
      <c r="F7" s="11" t="n">
        <f aca="false">D7+E7*12</f>
        <v>276</v>
      </c>
      <c r="G7" s="9" t="s">
        <v>17</v>
      </c>
      <c r="H7" s="12" t="s">
        <v>18</v>
      </c>
    </row>
    <row r="8" customFormat="false" ht="24" hidden="false" customHeight="true" outlineLevel="0" collapsed="false">
      <c r="A8" s="7" t="s">
        <v>10</v>
      </c>
      <c r="B8" s="8" t="s">
        <v>19</v>
      </c>
      <c r="C8" s="9" t="s">
        <v>20</v>
      </c>
      <c r="D8" s="10" t="n">
        <v>0</v>
      </c>
      <c r="E8" s="10" t="n">
        <v>18.4</v>
      </c>
      <c r="F8" s="11" t="n">
        <f aca="false">D8+E8*12</f>
        <v>220.8</v>
      </c>
      <c r="G8" s="9" t="s">
        <v>17</v>
      </c>
      <c r="H8" s="12" t="s">
        <v>21</v>
      </c>
    </row>
    <row r="9" customFormat="false" ht="15" hidden="false" customHeight="true" outlineLevel="0" collapsed="false">
      <c r="A9" s="7" t="s">
        <v>22</v>
      </c>
      <c r="B9" s="8" t="s">
        <v>23</v>
      </c>
      <c r="C9" s="9" t="s">
        <v>24</v>
      </c>
      <c r="D9" s="10" t="n">
        <v>0</v>
      </c>
      <c r="E9" s="10" t="n">
        <v>0</v>
      </c>
      <c r="F9" s="11" t="n">
        <f aca="false">D9+E9*12</f>
        <v>0</v>
      </c>
      <c r="G9" s="9" t="s">
        <v>25</v>
      </c>
      <c r="H9" s="12" t="s">
        <v>26</v>
      </c>
    </row>
    <row r="10" customFormat="false" ht="24" hidden="false" customHeight="true" outlineLevel="0" collapsed="false">
      <c r="A10" s="7" t="s">
        <v>22</v>
      </c>
      <c r="B10" s="8" t="s">
        <v>27</v>
      </c>
      <c r="C10" s="9" t="s">
        <v>28</v>
      </c>
      <c r="D10" s="10" t="n">
        <v>0</v>
      </c>
      <c r="E10" s="10" t="n">
        <v>0</v>
      </c>
      <c r="F10" s="11" t="n">
        <f aca="false">D10+E10*12</f>
        <v>0</v>
      </c>
      <c r="G10" s="9" t="s">
        <v>17</v>
      </c>
      <c r="H10" s="12" t="s">
        <v>29</v>
      </c>
    </row>
    <row r="11" customFormat="false" ht="15" hidden="false" customHeight="true" outlineLevel="0" collapsed="false">
      <c r="A11" s="7" t="s">
        <v>22</v>
      </c>
      <c r="B11" s="8" t="s">
        <v>30</v>
      </c>
      <c r="C11" s="9" t="s">
        <v>31</v>
      </c>
      <c r="D11" s="10" t="n">
        <v>0</v>
      </c>
      <c r="E11" s="10" t="n">
        <v>0</v>
      </c>
      <c r="F11" s="11" t="n">
        <f aca="false">D11+E11*12</f>
        <v>0</v>
      </c>
      <c r="G11" s="9" t="s">
        <v>17</v>
      </c>
      <c r="H11" s="12" t="s">
        <v>32</v>
      </c>
    </row>
    <row r="12" customFormat="false" ht="24" hidden="false" customHeight="true" outlineLevel="0" collapsed="false">
      <c r="A12" s="7" t="s">
        <v>22</v>
      </c>
      <c r="B12" s="8" t="s">
        <v>33</v>
      </c>
      <c r="C12" s="9" t="s">
        <v>34</v>
      </c>
      <c r="D12" s="10" t="n">
        <v>0</v>
      </c>
      <c r="E12" s="10" t="n">
        <v>5</v>
      </c>
      <c r="F12" s="11" t="n">
        <f aca="false">D12+E12*12</f>
        <v>60</v>
      </c>
      <c r="G12" s="9" t="s">
        <v>17</v>
      </c>
      <c r="H12" s="12" t="s">
        <v>35</v>
      </c>
    </row>
    <row r="13" customFormat="false" ht="24" hidden="false" customHeight="true" outlineLevel="0" collapsed="false">
      <c r="A13" s="7" t="s">
        <v>36</v>
      </c>
      <c r="B13" s="8" t="s">
        <v>37</v>
      </c>
      <c r="C13" s="9" t="s">
        <v>38</v>
      </c>
      <c r="D13" s="10" t="n">
        <v>0</v>
      </c>
      <c r="E13" s="10" t="n">
        <v>20</v>
      </c>
      <c r="F13" s="11" t="n">
        <f aca="false">D13+E13*12</f>
        <v>240</v>
      </c>
      <c r="G13" s="9" t="s">
        <v>13</v>
      </c>
      <c r="H13" s="12" t="s">
        <v>39</v>
      </c>
    </row>
    <row r="14" customFormat="false" ht="24" hidden="false" customHeight="true" outlineLevel="0" collapsed="false">
      <c r="A14" s="7" t="s">
        <v>40</v>
      </c>
      <c r="B14" s="8" t="s">
        <v>41</v>
      </c>
      <c r="C14" s="9" t="s">
        <v>42</v>
      </c>
      <c r="D14" s="10" t="n">
        <v>0</v>
      </c>
      <c r="E14" s="10" t="n">
        <v>13.8</v>
      </c>
      <c r="F14" s="11" t="n">
        <f aca="false">D14+E14*12</f>
        <v>165.6</v>
      </c>
      <c r="G14" s="9" t="s">
        <v>43</v>
      </c>
      <c r="H14" s="12" t="s">
        <v>44</v>
      </c>
    </row>
    <row r="15" customFormat="false" ht="24" hidden="false" customHeight="true" outlineLevel="0" collapsed="false">
      <c r="A15" s="7" t="s">
        <v>40</v>
      </c>
      <c r="B15" s="8" t="s">
        <v>45</v>
      </c>
      <c r="C15" s="9" t="s">
        <v>46</v>
      </c>
      <c r="D15" s="10" t="n">
        <v>0</v>
      </c>
      <c r="E15" s="10" t="n">
        <v>23</v>
      </c>
      <c r="F15" s="11" t="n">
        <f aca="false">D15+E15*12</f>
        <v>276</v>
      </c>
      <c r="G15" s="9" t="s">
        <v>43</v>
      </c>
      <c r="H15" s="12" t="s">
        <v>47</v>
      </c>
    </row>
    <row r="16" customFormat="false" ht="15" hidden="false" customHeight="true" outlineLevel="0" collapsed="false">
      <c r="A16" s="7" t="s">
        <v>40</v>
      </c>
      <c r="B16" s="8" t="s">
        <v>48</v>
      </c>
      <c r="C16" s="9" t="s">
        <v>49</v>
      </c>
      <c r="D16" s="10" t="n">
        <v>0</v>
      </c>
      <c r="E16" s="10" t="n">
        <v>5.45</v>
      </c>
      <c r="F16" s="11" t="n">
        <f aca="false">D16+E16*12</f>
        <v>65.4</v>
      </c>
      <c r="G16" s="9" t="s">
        <v>50</v>
      </c>
      <c r="H16" s="12" t="s">
        <v>51</v>
      </c>
    </row>
    <row r="17" customFormat="false" ht="24" hidden="false" customHeight="true" outlineLevel="0" collapsed="false">
      <c r="A17" s="7" t="s">
        <v>52</v>
      </c>
      <c r="B17" s="8" t="s">
        <v>53</v>
      </c>
      <c r="C17" s="9" t="s">
        <v>54</v>
      </c>
      <c r="D17" s="10" t="n">
        <v>0</v>
      </c>
      <c r="E17" s="10" t="n">
        <v>39.95</v>
      </c>
      <c r="F17" s="11" t="n">
        <f aca="false">D17+E17*12</f>
        <v>479.4</v>
      </c>
      <c r="G17" s="9" t="s">
        <v>55</v>
      </c>
      <c r="H17" s="12" t="s">
        <v>56</v>
      </c>
    </row>
    <row r="18" customFormat="false" ht="24" hidden="false" customHeight="true" outlineLevel="0" collapsed="false">
      <c r="A18" s="7" t="s">
        <v>52</v>
      </c>
      <c r="B18" s="8" t="s">
        <v>57</v>
      </c>
      <c r="C18" s="9" t="s">
        <v>58</v>
      </c>
      <c r="D18" s="10" t="n">
        <v>0</v>
      </c>
      <c r="E18" s="10" t="n">
        <v>0</v>
      </c>
      <c r="F18" s="11" t="n">
        <f aca="false">D18+E18*12</f>
        <v>0</v>
      </c>
      <c r="G18" s="9" t="s">
        <v>17</v>
      </c>
      <c r="H18" s="12" t="s">
        <v>59</v>
      </c>
    </row>
    <row r="19" customFormat="false" ht="24" hidden="false" customHeight="true" outlineLevel="0" collapsed="false">
      <c r="A19" s="7" t="s">
        <v>60</v>
      </c>
      <c r="B19" s="8" t="s">
        <v>61</v>
      </c>
      <c r="C19" s="9" t="s">
        <v>62</v>
      </c>
      <c r="D19" s="10" t="n">
        <v>0</v>
      </c>
      <c r="E19" s="10" t="n">
        <v>80</v>
      </c>
      <c r="F19" s="11" t="n">
        <f aca="false">D19+E19*12</f>
        <v>960</v>
      </c>
      <c r="G19" s="9" t="s">
        <v>63</v>
      </c>
      <c r="H19" s="12" t="s">
        <v>64</v>
      </c>
    </row>
    <row r="20" customFormat="false" ht="24" hidden="false" customHeight="true" outlineLevel="0" collapsed="false">
      <c r="A20" s="7" t="s">
        <v>60</v>
      </c>
      <c r="B20" s="8" t="s">
        <v>65</v>
      </c>
      <c r="C20" s="9" t="s">
        <v>66</v>
      </c>
      <c r="D20" s="10" t="n">
        <v>0</v>
      </c>
      <c r="E20" s="10" t="n">
        <v>60</v>
      </c>
      <c r="F20" s="11" t="n">
        <f aca="false">D20+E20*12</f>
        <v>720</v>
      </c>
      <c r="G20" s="9" t="s">
        <v>63</v>
      </c>
      <c r="H20" s="12" t="s">
        <v>67</v>
      </c>
    </row>
    <row r="21" customFormat="false" ht="24" hidden="false" customHeight="true" outlineLevel="0" collapsed="false">
      <c r="A21" s="7" t="s">
        <v>60</v>
      </c>
      <c r="B21" s="8" t="s">
        <v>68</v>
      </c>
      <c r="C21" s="9" t="s">
        <v>69</v>
      </c>
      <c r="D21" s="10" t="n">
        <v>0</v>
      </c>
      <c r="E21" s="10" t="n">
        <v>15</v>
      </c>
      <c r="F21" s="11" t="n">
        <f aca="false">D21+E21*12</f>
        <v>180</v>
      </c>
      <c r="G21" s="9" t="s">
        <v>17</v>
      </c>
      <c r="H21" s="12" t="s">
        <v>70</v>
      </c>
    </row>
    <row r="22" customFormat="false" ht="24" hidden="false" customHeight="true" outlineLevel="0" collapsed="false">
      <c r="A22" s="7" t="s">
        <v>71</v>
      </c>
      <c r="B22" s="8" t="s">
        <v>72</v>
      </c>
      <c r="C22" s="9" t="s">
        <v>73</v>
      </c>
      <c r="D22" s="10" t="n">
        <v>121</v>
      </c>
      <c r="E22" s="10" t="n">
        <v>0</v>
      </c>
      <c r="F22" s="11" t="n">
        <f aca="false">D22+E22*12</f>
        <v>121</v>
      </c>
      <c r="G22" s="9" t="s">
        <v>63</v>
      </c>
      <c r="H22" s="12" t="s">
        <v>74</v>
      </c>
    </row>
    <row r="23" customFormat="false" ht="24" hidden="false" customHeight="true" outlineLevel="0" collapsed="false">
      <c r="A23" s="7" t="s">
        <v>71</v>
      </c>
      <c r="B23" s="8" t="s">
        <v>75</v>
      </c>
      <c r="C23" s="9" t="s">
        <v>73</v>
      </c>
      <c r="D23" s="10" t="n">
        <v>1</v>
      </c>
      <c r="E23" s="10" t="n">
        <v>0</v>
      </c>
      <c r="F23" s="11" t="n">
        <f aca="false">D23+E23*12</f>
        <v>1</v>
      </c>
      <c r="G23" s="9" t="s">
        <v>63</v>
      </c>
      <c r="H23" s="12" t="s">
        <v>76</v>
      </c>
    </row>
    <row r="24" customFormat="false" ht="24" hidden="false" customHeight="true" outlineLevel="0" collapsed="false">
      <c r="A24" s="7" t="s">
        <v>71</v>
      </c>
      <c r="B24" s="8" t="s">
        <v>77</v>
      </c>
      <c r="C24" s="9" t="s">
        <v>78</v>
      </c>
      <c r="D24" s="10" t="n">
        <v>0</v>
      </c>
      <c r="E24" s="10" t="n">
        <v>80</v>
      </c>
      <c r="F24" s="11" t="n">
        <f aca="false">D24+E24*12</f>
        <v>960</v>
      </c>
      <c r="G24" s="9" t="s">
        <v>63</v>
      </c>
      <c r="H24" s="12" t="s">
        <v>79</v>
      </c>
    </row>
    <row r="25" customFormat="false" ht="24" hidden="false" customHeight="true" outlineLevel="0" collapsed="false">
      <c r="A25" s="7" t="s">
        <v>71</v>
      </c>
      <c r="B25" s="8" t="s">
        <v>80</v>
      </c>
      <c r="C25" s="9" t="s">
        <v>81</v>
      </c>
      <c r="D25" s="10" t="n">
        <v>0</v>
      </c>
      <c r="E25" s="10" t="n">
        <v>120</v>
      </c>
      <c r="F25" s="11" t="n">
        <f aca="false">D25+E25*12</f>
        <v>1440</v>
      </c>
      <c r="G25" s="9" t="s">
        <v>63</v>
      </c>
      <c r="H25" s="12" t="s">
        <v>82</v>
      </c>
    </row>
    <row r="26" customFormat="false" ht="15" hidden="false" customHeight="true" outlineLevel="0" collapsed="false">
      <c r="A26" s="7" t="s">
        <v>71</v>
      </c>
      <c r="B26" s="8" t="s">
        <v>68</v>
      </c>
      <c r="C26" s="9" t="s">
        <v>83</v>
      </c>
      <c r="D26" s="10" t="n">
        <v>0</v>
      </c>
      <c r="E26" s="10" t="n">
        <v>15</v>
      </c>
      <c r="F26" s="11" t="n">
        <f aca="false">D26+E26*12</f>
        <v>180</v>
      </c>
      <c r="G26" s="9" t="s">
        <v>17</v>
      </c>
      <c r="H26" s="12" t="s">
        <v>84</v>
      </c>
    </row>
    <row r="27" customFormat="false" ht="15" hidden="false" customHeight="true" outlineLevel="0" collapsed="false">
      <c r="A27" s="13" t="s">
        <v>71</v>
      </c>
      <c r="B27" s="14" t="s">
        <v>85</v>
      </c>
      <c r="C27" s="15" t="s">
        <v>86</v>
      </c>
      <c r="D27" s="16" t="n">
        <v>0</v>
      </c>
      <c r="E27" s="16" t="n">
        <v>0</v>
      </c>
      <c r="F27" s="17" t="n">
        <f aca="false">D27+E27*12</f>
        <v>0</v>
      </c>
      <c r="G27" s="15" t="s">
        <v>87</v>
      </c>
      <c r="H27" s="18" t="s">
        <v>88</v>
      </c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</sheetData>
  <mergeCells count="2">
    <mergeCell ref="A2:H2"/>
    <mergeCell ref="A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5" min="4" style="0" width="15"/>
    <col collapsed="false" customWidth="true" hidden="false" outlineLevel="0" max="6" min="6" style="0" width="17"/>
    <col collapsed="false" customWidth="true" hidden="false" outlineLevel="0" max="7" min="7" style="0" width="5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9.7" hidden="false" customHeight="false" outlineLevel="0" collapsed="false">
      <c r="A2" s="2" t="s">
        <v>89</v>
      </c>
      <c r="B2" s="2"/>
      <c r="C2" s="2"/>
      <c r="D2" s="2"/>
      <c r="E2" s="2"/>
      <c r="F2" s="2"/>
      <c r="G2" s="2"/>
      <c r="H2" s="1"/>
    </row>
    <row r="3" customFormat="false" ht="30" hidden="false" customHeight="true" outlineLevel="0" collapsed="false">
      <c r="A3" s="3" t="s">
        <v>90</v>
      </c>
      <c r="B3" s="3"/>
      <c r="C3" s="3"/>
      <c r="D3" s="3"/>
      <c r="E3" s="3"/>
      <c r="F3" s="3"/>
      <c r="G3" s="3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15" hidden="false" customHeight="true" outlineLevel="0" collapsed="false">
      <c r="A5" s="19" t="s">
        <v>91</v>
      </c>
      <c r="B5" s="20" t="n">
        <f aca="false">SUM(D9:D11)</f>
        <v>22</v>
      </c>
      <c r="C5" s="1"/>
      <c r="D5" s="3" t="s">
        <v>92</v>
      </c>
      <c r="E5" s="3"/>
      <c r="F5" s="3"/>
      <c r="G5" s="3"/>
      <c r="H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15" hidden="false" customHeight="false" outlineLevel="0" collapsed="false">
      <c r="A8" s="21" t="s">
        <v>93</v>
      </c>
      <c r="B8" s="22" t="s">
        <v>94</v>
      </c>
      <c r="C8" s="22" t="s">
        <v>95</v>
      </c>
      <c r="D8" s="22" t="s">
        <v>6</v>
      </c>
      <c r="E8" s="22" t="s">
        <v>96</v>
      </c>
      <c r="F8" s="22" t="s">
        <v>97</v>
      </c>
      <c r="G8" s="23" t="s">
        <v>98</v>
      </c>
      <c r="H8" s="1"/>
    </row>
    <row r="9" customFormat="false" ht="24" hidden="false" customHeight="true" outlineLevel="0" collapsed="false">
      <c r="A9" s="24" t="s">
        <v>99</v>
      </c>
      <c r="B9" s="1" t="s">
        <v>100</v>
      </c>
      <c r="C9" s="1" t="s">
        <v>101</v>
      </c>
      <c r="D9" s="25" t="n">
        <v>0</v>
      </c>
      <c r="E9" s="26" t="n">
        <f aca="false">D9*12</f>
        <v>0</v>
      </c>
      <c r="F9" s="1" t="s">
        <v>102</v>
      </c>
      <c r="G9" s="27" t="s">
        <v>103</v>
      </c>
      <c r="H9" s="1"/>
    </row>
    <row r="10" customFormat="false" ht="24" hidden="false" customHeight="true" outlineLevel="0" collapsed="false">
      <c r="A10" s="24" t="s">
        <v>99</v>
      </c>
      <c r="B10" s="1" t="s">
        <v>104</v>
      </c>
      <c r="C10" s="1" t="s">
        <v>105</v>
      </c>
      <c r="D10" s="25" t="n">
        <v>0</v>
      </c>
      <c r="E10" s="26" t="n">
        <f aca="false">D10*12</f>
        <v>0</v>
      </c>
      <c r="F10" s="1" t="s">
        <v>102</v>
      </c>
      <c r="G10" s="27" t="s">
        <v>106</v>
      </c>
      <c r="H10" s="1"/>
    </row>
    <row r="11" customFormat="false" ht="24" hidden="false" customHeight="true" outlineLevel="0" collapsed="false">
      <c r="A11" s="28" t="s">
        <v>99</v>
      </c>
      <c r="B11" s="29" t="s">
        <v>107</v>
      </c>
      <c r="C11" s="29" t="s">
        <v>108</v>
      </c>
      <c r="D11" s="30" t="n">
        <v>22</v>
      </c>
      <c r="E11" s="30" t="n">
        <f aca="false">D11*12</f>
        <v>264</v>
      </c>
      <c r="F11" s="29" t="s">
        <v>102</v>
      </c>
      <c r="G11" s="31" t="s">
        <v>109</v>
      </c>
      <c r="H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</sheetData>
  <mergeCells count="3">
    <mergeCell ref="A2:G2"/>
    <mergeCell ref="A3:G3"/>
    <mergeCell ref="D5:G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